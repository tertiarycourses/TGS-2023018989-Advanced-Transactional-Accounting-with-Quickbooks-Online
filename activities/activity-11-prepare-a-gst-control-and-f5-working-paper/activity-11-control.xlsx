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ource Register" sheetId="2" state="visible" r:id="rId4"/>
    <sheet name="Exceptions" sheetId="3" state="visible" r:id="rId5"/>
    <sheet name="Acceptance Tests" sheetId="4" state="visible" r:id="rId6"/>
    <sheet name="Evidence Log" sheetId="5" state="visible" r:id="rId7"/>
    <sheet name="Control Calcula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<sst xmlns="http://schemas.openxmlformats.org/spreadsheetml/2006/main" count="88" uniqueCount="71">
  <si>
    <t xml:space="preserve">Activity 11 · Prepare a GST Control and F5 Working Paper</t>
  </si>
  <si>
    <t xml:space="preserve">Level</t>
  </si>
  <si>
    <t xml:space="preserve">Advanced</t>
  </si>
  <si>
    <t xml:space="preserve">Criteria</t>
  </si>
  <si>
    <t xml:space="preserve">K2, A2, A3</t>
  </si>
  <si>
    <t xml:space="preserve">Scenario</t>
  </si>
  <si>
    <t xml:space="preserve">Straits Commerce has standard-rated, zero-rated, exempt, out-of-scope, credit-note, and potentially disallowed input-tax transactions for a quarterly GST review.</t>
  </si>
  <si>
    <t xml:space="preserve">Goal</t>
  </si>
  <si>
    <t xml:space="preserve">Validate tax coding, reconcile output/input tax, and identify items requiring correction or escalation.</t>
  </si>
  <si>
    <t xml:space="preserve">Workbook role</t>
  </si>
  <si>
    <t xml:space="preserve">Control, analysis, exception, acceptance, and evidence record. Do not overwrite raw source data.</t>
  </si>
  <si>
    <t xml:space="preserve">File</t>
  </si>
  <si>
    <t xml:space="preserve">Purpose</t>
  </si>
  <si>
    <t xml:space="preserve">Loaded/Reviewed</t>
  </si>
  <si>
    <t xml:space="preserve">Exceptions</t>
  </si>
  <si>
    <t xml:space="preserve">Evidence Reference</t>
  </si>
  <si>
    <t xml:space="preserve">gst_transactions.csv</t>
  </si>
  <si>
    <t xml:space="preserve">Activity input/output</t>
  </si>
  <si>
    <t xml:space="preserve">No</t>
  </si>
  <si>
    <t xml:space="preserve">gst_control_accounts.csv</t>
  </si>
  <si>
    <t xml:space="preserve">tax_code_matrix.csv</t>
  </si>
  <si>
    <t xml:space="preserve">ID</t>
  </si>
  <si>
    <t xml:space="preserve">Issue</t>
  </si>
  <si>
    <t xml:space="preserve">Financial/Control Impact</t>
  </si>
  <si>
    <t xml:space="preserve">Action</t>
  </si>
  <si>
    <t xml:space="preserve">Owner</t>
  </si>
  <si>
    <t xml:space="preserve">Due Date</t>
  </si>
  <si>
    <t xml:space="preserve">Status</t>
  </si>
  <si>
    <t xml:space="preserve">Evidence</t>
  </si>
  <si>
    <t xml:space="preserve">EX-01</t>
  </si>
  <si>
    <t xml:space="preserve">Open</t>
  </si>
  <si>
    <t xml:space="preserve">EX-02</t>
  </si>
  <si>
    <t xml:space="preserve">EX-03</t>
  </si>
  <si>
    <t xml:space="preserve">EX-04</t>
  </si>
  <si>
    <t xml:space="preserve">EX-05</t>
  </si>
  <si>
    <t xml:space="preserve">EX-06</t>
  </si>
  <si>
    <t xml:space="preserve">EX-07</t>
  </si>
  <si>
    <t xml:space="preserve">EX-08</t>
  </si>
  <si>
    <t xml:space="preserve">Test</t>
  </si>
  <si>
    <t xml:space="preserve">Result</t>
  </si>
  <si>
    <t xml:space="preserve">Reviewer</t>
  </si>
  <si>
    <t xml:space="preserve">Output/input tax ties to control accounts</t>
  </si>
  <si>
    <t xml:space="preserve">Pending</t>
  </si>
  <si>
    <t xml:space="preserve">Rate and coding exceptions are documented</t>
  </si>
  <si>
    <t xml:space="preserve">Disallowed/unsupported input tax is excluded or escalated</t>
  </si>
  <si>
    <t xml:space="preserve">Working paper traces to source</t>
  </si>
  <si>
    <t xml:space="preserve">Evidence ID</t>
  </si>
  <si>
    <t xml:space="preserve">QBO Report/Screen/Export</t>
  </si>
  <si>
    <t xml:space="preserve">Period</t>
  </si>
  <si>
    <t xml:space="preserve">File/Link</t>
  </si>
  <si>
    <t xml:space="preserve">Prepared By</t>
  </si>
  <si>
    <t xml:space="preserve">Reviewed By</t>
  </si>
  <si>
    <t xml:space="preserve">Conclusion</t>
  </si>
  <si>
    <t xml:space="preserve">EV-01</t>
  </si>
  <si>
    <t xml:space="preserve">EV-02</t>
  </si>
  <si>
    <t xml:space="preserve">EV-03</t>
  </si>
  <si>
    <t xml:space="preserve">EV-04</t>
  </si>
  <si>
    <t xml:space="preserve">EV-05</t>
  </si>
  <si>
    <t xml:space="preserve">EV-06</t>
  </si>
  <si>
    <t xml:space="preserve">EV-07</t>
  </si>
  <si>
    <t xml:space="preserve">EV-08</t>
  </si>
  <si>
    <t xml:space="preserve">EV-09</t>
  </si>
  <si>
    <t xml:space="preserve">EV-10</t>
  </si>
  <si>
    <t xml:space="preserve">Control</t>
  </si>
  <si>
    <t xml:space="preserve">Source A</t>
  </si>
  <si>
    <t xml:space="preserve">Source B</t>
  </si>
  <si>
    <t xml:space="preserve">Difference</t>
  </si>
  <si>
    <t xml:space="preserve">Debit-credit / source-to-report tie</t>
  </si>
  <si>
    <t xml:space="preserve">Subledger-to-GL tie</t>
  </si>
  <si>
    <t xml:space="preserve">Evidence completeness</t>
  </si>
  <si>
    <t xml:space="preserve">Acceptance completion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</si>
</sst>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9E1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Control Status Preview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'Control Calculations'!B1</c:f>
              <c:strCache>
                <c:ptCount val="1"/>
                <c:pt idx="0">
                  <c:v>Source A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Calculations'!$A$2:$A$5</c:f>
              <c:strCache>
                <c:ptCount val="4"/>
                <c:pt idx="0">
                  <c:v>Debit-credit / source-to-report tie</c:v>
                </c:pt>
                <c:pt idx="1">
                  <c:v>Subledger-to-GL tie</c:v>
                </c:pt>
                <c:pt idx="2">
                  <c:v>Evidence completeness</c:v>
                </c:pt>
                <c:pt idx="3">
                  <c:v>Acceptance completion</c:v>
                </c:pt>
              </c:strCache>
            </c:strRef>
          </c:cat>
          <c:val>
            <c:numRef>
              <c:f>'Control Calculations'!$B$2:$B$5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4</c:v>
                </c:pt>
              </c:numCache>
            </c:numRef>
          </c:val>
        </c:ser>
        <c:ser>
          <c:idx val="1"/>
          <c:order val="1"/>
          <c:tx>
            <c:strRef>
              <c:f>'Control Calculations'!C1</c:f>
              <c:strCache>
                <c:ptCount val="1"/>
                <c:pt idx="0">
                  <c:v>Source B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'Control Calculations'!$A$2:$A$5</c:f>
              <c:strCache>
                <c:ptCount val="4"/>
                <c:pt idx="0">
                  <c:v>Debit-credit / source-to-report tie</c:v>
                </c:pt>
                <c:pt idx="1">
                  <c:v>Subledger-to-GL tie</c:v>
                </c:pt>
                <c:pt idx="2">
                  <c:v>Evidence completeness</c:v>
                </c:pt>
                <c:pt idx="3">
                  <c:v>Acceptance completion</c:v>
                </c:pt>
              </c:strCache>
            </c:strRef>
          </c:cat>
          <c:val>
            <c:numRef>
              <c:f>'Control Calculations'!$C$2:$C$5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48642868"/>
        <c:axId val="32377221"/>
      </c:barChart>
      <c:catAx>
        <c:axId val="486428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377221"/>
        <c:crosses val="autoZero"/>
        <c:auto val="1"/>
        <c:lblAlgn val="ctr"/>
        <c:lblOffset val="100"/>
        <c:noMultiLvlLbl val="0"/>
      </c:catAx>
      <c:valAx>
        <c:axId val="323772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 /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6428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147600</xdr:colOff>
      <xdr:row>16</xdr:row>
      <xdr:rowOff>21960</xdr:rowOff>
    </xdr:to>
    <xdr:graphicFrame>
      <xdr:nvGraphicFramePr>
        <xdr:cNvPr id="1" name="Chart 1"/>
        <xdr:cNvGraphicFramePr/>
      </xdr:nvGraphicFramePr>
      <xdr:xfrm>
        <a:off x="9422280" y="190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6" min="3" style="0" width="13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/>
      <c r="E3" s="2"/>
      <c r="F3" s="2"/>
    </row>
    <row r="4" customFormat="false" ht="15" hidden="false" customHeight="true" outlineLevel="0" collapsed="false">
      <c r="A4" s="2" t="s">
        <v>3</v>
      </c>
      <c r="B4" s="2" t="s">
        <v>4</v>
      </c>
      <c r="C4" s="2"/>
      <c r="D4" s="2"/>
      <c r="E4" s="2"/>
      <c r="F4" s="2"/>
    </row>
    <row r="5" customFormat="false" ht="23.85" hidden="false" customHeight="true" outlineLevel="0" collapsed="false">
      <c r="A5" s="2" t="s">
        <v>5</v>
      </c>
      <c r="B5" s="2" t="s">
        <v>6</v>
      </c>
      <c r="C5" s="2"/>
      <c r="D5" s="2"/>
      <c r="E5" s="2"/>
      <c r="F5" s="2"/>
    </row>
    <row r="6" customFormat="false" ht="15" hidden="false" customHeight="true" outlineLevel="0" collapsed="false">
      <c r="A6" s="2" t="s">
        <v>7</v>
      </c>
      <c r="B6" s="2" t="s">
        <v>8</v>
      </c>
      <c r="C6" s="2"/>
      <c r="D6" s="2"/>
      <c r="E6" s="2"/>
      <c r="F6" s="2"/>
    </row>
    <row r="7" customFormat="false" ht="15" hidden="false" customHeight="true" outlineLevel="0" collapsed="false">
      <c r="A7" s="2" t="s">
        <v>9</v>
      </c>
      <c r="B7" s="2" t="s">
        <v>10</v>
      </c>
      <c r="C7" s="2"/>
      <c r="D7" s="2"/>
      <c r="E7" s="2"/>
      <c r="F7" s="2"/>
    </row>
  </sheetData>
  <mergeCells count="6">
    <mergeCell ref="A1:F1"/>
    <mergeCell ref="B3:F3"/>
    <mergeCell ref="B4:F4"/>
    <mergeCell ref="B5:F5"/>
    <mergeCell ref="B6:F6"/>
    <mergeCell ref="B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/>
      <c r="E2" s="2"/>
    </row>
    <row r="3" customFormat="false" ht="15" hidden="false" customHeight="false" outlineLevel="0" collapsed="false">
      <c r="A3" s="2" t="s">
        <v>19</v>
      </c>
      <c r="B3" s="2" t="s">
        <v>17</v>
      </c>
      <c r="C3" s="2" t="s">
        <v>18</v>
      </c>
      <c r="D3" s="2"/>
      <c r="E3" s="2"/>
    </row>
    <row r="4" customFormat="false" ht="15" hidden="false" customHeight="false" outlineLevel="0" collapsed="false">
      <c r="A4" s="2" t="s">
        <v>20</v>
      </c>
      <c r="B4" s="2" t="s">
        <v>17</v>
      </c>
      <c r="C4" s="2" t="s">
        <v>18</v>
      </c>
      <c r="D4" s="2"/>
      <c r="E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customFormat="false" ht="15" hidden="false" customHeight="false" outlineLevel="0" collapsed="false">
      <c r="A2" s="2" t="s">
        <v>29</v>
      </c>
      <c r="B2" s="2"/>
      <c r="C2" s="2"/>
      <c r="D2" s="2"/>
      <c r="E2" s="2"/>
      <c r="F2" s="2"/>
      <c r="G2" s="2" t="s">
        <v>30</v>
      </c>
      <c r="H2" s="2"/>
    </row>
    <row r="3" customFormat="false" ht="15" hidden="false" customHeight="false" outlineLevel="0" collapsed="false">
      <c r="A3" s="2" t="s">
        <v>31</v>
      </c>
      <c r="B3" s="2"/>
      <c r="C3" s="2"/>
      <c r="D3" s="2"/>
      <c r="E3" s="2"/>
      <c r="F3" s="2"/>
      <c r="G3" s="2" t="s">
        <v>30</v>
      </c>
      <c r="H3" s="2"/>
    </row>
    <row r="4" customFormat="false" ht="15" hidden="false" customHeight="false" outlineLevel="0" collapsed="false">
      <c r="A4" s="2" t="s">
        <v>32</v>
      </c>
      <c r="B4" s="2"/>
      <c r="C4" s="2"/>
      <c r="D4" s="2"/>
      <c r="E4" s="2"/>
      <c r="F4" s="2"/>
      <c r="G4" s="2" t="s">
        <v>30</v>
      </c>
      <c r="H4" s="2"/>
    </row>
    <row r="5" customFormat="false" ht="15" hidden="false" customHeight="false" outlineLevel="0" collapsed="false">
      <c r="A5" s="2" t="s">
        <v>33</v>
      </c>
      <c r="B5" s="2"/>
      <c r="C5" s="2"/>
      <c r="D5" s="2"/>
      <c r="E5" s="2"/>
      <c r="F5" s="2"/>
      <c r="G5" s="2" t="s">
        <v>30</v>
      </c>
      <c r="H5" s="2"/>
    </row>
    <row r="6" customFormat="false" ht="15" hidden="false" customHeight="false" outlineLevel="0" collapsed="false">
      <c r="A6" s="2" t="s">
        <v>34</v>
      </c>
      <c r="B6" s="2"/>
      <c r="C6" s="2"/>
      <c r="D6" s="2"/>
      <c r="E6" s="2"/>
      <c r="F6" s="2"/>
      <c r="G6" s="2" t="s">
        <v>30</v>
      </c>
      <c r="H6" s="2"/>
    </row>
    <row r="7" customFormat="false" ht="15" hidden="false" customHeight="false" outlineLevel="0" collapsed="false">
      <c r="A7" s="2" t="s">
        <v>35</v>
      </c>
      <c r="B7" s="2"/>
      <c r="C7" s="2"/>
      <c r="D7" s="2"/>
      <c r="E7" s="2"/>
      <c r="F7" s="2"/>
      <c r="G7" s="2" t="s">
        <v>30</v>
      </c>
      <c r="H7" s="2"/>
    </row>
    <row r="8" customFormat="false" ht="15" hidden="false" customHeight="false" outlineLevel="0" collapsed="false">
      <c r="A8" s="2" t="s">
        <v>36</v>
      </c>
      <c r="B8" s="2"/>
      <c r="C8" s="2"/>
      <c r="D8" s="2"/>
      <c r="E8" s="2"/>
      <c r="F8" s="2"/>
      <c r="G8" s="2" t="s">
        <v>30</v>
      </c>
      <c r="H8" s="2"/>
    </row>
    <row r="9" customFormat="false" ht="15" hidden="false" customHeight="false" outlineLevel="0" collapsed="false">
      <c r="A9" s="2" t="s">
        <v>37</v>
      </c>
      <c r="B9" s="2"/>
      <c r="C9" s="2"/>
      <c r="D9" s="2"/>
      <c r="E9" s="2"/>
      <c r="F9" s="2"/>
      <c r="G9" s="2" t="s">
        <v>30</v>
      </c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3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28</v>
      </c>
      <c r="D1" s="1" t="s">
        <v>40</v>
      </c>
      <c r="E1" s="1" t="s">
        <v>27</v>
      </c>
    </row>
    <row r="2" customFormat="false" ht="23.85" hidden="false" customHeight="false" outlineLevel="0" collapsed="false">
      <c r="A2" s="2" t="s">
        <v>41</v>
      </c>
      <c r="B2" s="2"/>
      <c r="C2" s="2"/>
      <c r="D2" s="2"/>
      <c r="E2" s="3" t="s">
        <v>42</v>
      </c>
    </row>
    <row r="3" customFormat="false" ht="23.85" hidden="false" customHeight="false" outlineLevel="0" collapsed="false">
      <c r="A3" s="2" t="s">
        <v>43</v>
      </c>
      <c r="B3" s="2"/>
      <c r="C3" s="2"/>
      <c r="D3" s="2"/>
      <c r="E3" s="3" t="s">
        <v>42</v>
      </c>
    </row>
    <row r="4" customFormat="false" ht="23.85" hidden="false" customHeight="false" outlineLevel="0" collapsed="false">
      <c r="A4" s="2" t="s">
        <v>44</v>
      </c>
      <c r="B4" s="2"/>
      <c r="C4" s="2"/>
      <c r="D4" s="2"/>
      <c r="E4" s="3" t="s">
        <v>42</v>
      </c>
    </row>
    <row r="5" customFormat="false" ht="15" hidden="false" customHeight="false" outlineLevel="0" collapsed="false">
      <c r="A5" s="2" t="s">
        <v>45</v>
      </c>
      <c r="B5" s="2"/>
      <c r="C5" s="2"/>
      <c r="D5" s="2"/>
      <c r="E5" s="3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7" min="3" style="0" width="13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customFormat="false" ht="15" hidden="false" customHeight="false" outlineLevel="0" collapsed="false">
      <c r="A2" s="2" t="s">
        <v>53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 t="s">
        <v>54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2" t="s">
        <v>55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2" t="s">
        <v>56</v>
      </c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2" t="s">
        <v>57</v>
      </c>
      <c r="B6" s="2"/>
      <c r="C6" s="2"/>
      <c r="D6" s="2"/>
      <c r="E6" s="2"/>
      <c r="F6" s="2"/>
      <c r="G6" s="2"/>
    </row>
    <row r="7" customFormat="false" ht="15" hidden="false" customHeight="false" outlineLevel="0" collapsed="false">
      <c r="A7" s="2" t="s">
        <v>58</v>
      </c>
      <c r="B7" s="2"/>
      <c r="C7" s="2"/>
      <c r="D7" s="2"/>
      <c r="E7" s="2"/>
      <c r="F7" s="2"/>
      <c r="G7" s="2"/>
    </row>
    <row r="8" customFormat="false" ht="15" hidden="false" customHeight="false" outlineLevel="0" collapsed="false">
      <c r="A8" s="2" t="s">
        <v>59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2" t="s">
        <v>60</v>
      </c>
      <c r="B9" s="2"/>
      <c r="C9" s="2"/>
      <c r="D9" s="2"/>
      <c r="E9" s="2"/>
      <c r="F9" s="2"/>
      <c r="G9" s="2"/>
    </row>
    <row r="10" customFormat="false" ht="15" hidden="false" customHeight="false" outlineLevel="0" collapsed="false">
      <c r="A10" s="2" t="s">
        <v>61</v>
      </c>
      <c r="B10" s="2"/>
      <c r="C10" s="2"/>
      <c r="D10" s="2"/>
      <c r="E10" s="2"/>
      <c r="F10" s="2"/>
      <c r="G10" s="2"/>
    </row>
    <row r="11" customFormat="false" ht="15" hidden="false" customHeight="false" outlineLevel="0" collapsed="false">
      <c r="A11" s="2" t="s">
        <v>62</v>
      </c>
      <c r="B11" s="2"/>
      <c r="C11" s="2"/>
      <c r="D11" s="2"/>
      <c r="E11" s="2"/>
      <c r="F11" s="2"/>
      <c r="G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8"/>
    <col collapsed="false" customWidth="true" hidden="false" outlineLevel="0" max="4" min="4" style="0" width="13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27</v>
      </c>
    </row>
    <row r="2" customFormat="false" ht="15" hidden="false" customHeight="false" outlineLevel="0" collapsed="false">
      <c r="A2" s="2" t="s">
        <v>67</v>
      </c>
      <c r="B2" s="4" t="n">
        <v>0</v>
      </c>
      <c r="C2" s="4" t="n">
        <v>0</v>
      </c>
      <c r="D2" s="5" t="n">
        <f aca="false">B2-C2</f>
        <v>0</v>
      </c>
      <c r="E2" s="2" t="str">
        <f aca="false">IF(ABS(D2)&lt;0.01,"PASS","INVESTIGATE")</f>
        <v>PASS</v>
      </c>
    </row>
    <row r="3" customFormat="false" ht="15" hidden="false" customHeight="false" outlineLevel="0" collapsed="false">
      <c r="A3" s="2" t="s">
        <v>68</v>
      </c>
      <c r="B3" s="4" t="n">
        <v>0</v>
      </c>
      <c r="C3" s="4" t="n">
        <v>0</v>
      </c>
      <c r="D3" s="5" t="n">
        <f aca="false">B3-C3</f>
        <v>0</v>
      </c>
      <c r="E3" s="2" t="str">
        <f aca="false">IF(ABS(D3)&lt;0.01,"PASS","INVESTIGATE")</f>
        <v>PASS</v>
      </c>
    </row>
    <row r="4" customFormat="false" ht="15" hidden="false" customHeight="false" outlineLevel="0" collapsed="false">
      <c r="A4" s="2" t="s">
        <v>69</v>
      </c>
      <c r="B4" s="2" t="n">
        <f aca="false">COUNTA('Evidence Log'!A2:A11)</f>
        <v>10</v>
      </c>
      <c r="C4" s="2" t="n">
        <f aca="false">COUNTIF('Evidence Log'!G2:G11,"&lt;&gt;")</f>
        <v>0</v>
      </c>
      <c r="D4" s="5" t="n">
        <f aca="false">B4-C4</f>
        <v>10</v>
      </c>
      <c r="E4" s="2" t="str">
        <f aca="false">IF(D4=0,"PASS","INCOMPLETE")</f>
        <v>INCOMPLETE</v>
      </c>
    </row>
    <row r="5" customFormat="false" ht="15" hidden="false" customHeight="false" outlineLevel="0" collapsed="false">
      <c r="A5" s="2" t="s">
        <v>70</v>
      </c>
      <c r="B5" s="2" t="n">
        <f aca="false">4</f>
        <v>4</v>
      </c>
      <c r="C5" s="2" t="n">
        <f aca="false">COUNTIF('Acceptance Tests'!E2:E20,"PASS")</f>
        <v>0</v>
      </c>
      <c r="D5" s="5" t="n">
        <f aca="false">B5-C5</f>
        <v>4</v>
      </c>
      <c r="E5" s="2" t="str">
        <f aca="false">IF(D5=0,"PASS","INCOMPLETE")</f>
        <v>INCOMPLETE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2026-08-15T17:28:22Z</dcterms:created>
  <dc:creator>openpyxl</dc:creator>
  <dc:description/>
  <dc:language>en-SG</dc:language>
  <cp:lastModifiedBy/>
  <dcterms:modified xsi:type="dcterms:W3CDTF">2026-08-16T01:48:48Z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